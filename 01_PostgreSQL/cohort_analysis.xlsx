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ine\Courses\DA\GoIT\SQL\"/>
    </mc:Choice>
  </mc:AlternateContent>
  <bookViews>
    <workbookView xWindow="0" yWindow="600" windowWidth="23016" windowHeight="8592" activeTab="1"/>
  </bookViews>
  <sheets>
    <sheet name="Data" sheetId="1" r:id="rId1"/>
    <sheet name="Cohort_tables" sheetId="2" r:id="rId2"/>
    <sheet name="Conclusions" sheetId="3" r:id="rId3"/>
  </sheets>
  <definedNames>
    <definedName name="SlicerCache_Table_1_Col_1">#N/A</definedName>
    <definedName name="Z_D207F36B_2F2A_4866_92C4_D01E3801118B_.wvu.FilterData" localSheetId="0" hidden="1">Data!$A$1:$D$43</definedName>
  </definedNames>
  <calcPr calcId="162913"/>
  <customWorkbookViews>
    <customWorkbookView name="Filter 1" guid="{D207F36B-2F2A-4866-92C4-D01E3801118B}" maximized="1" windowWidth="0" windowHeight="0" activeSheetId="0"/>
  </customWorkbookViews>
  <pivotCaches>
    <pivotCache cacheId="4"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Lst>
</workbook>
</file>

<file path=xl/calcChain.xml><?xml version="1.0" encoding="utf-8"?>
<calcChain xmlns="http://schemas.openxmlformats.org/spreadsheetml/2006/main">
  <c r="G19" i="2" l="1"/>
  <c r="F19" i="2"/>
  <c r="E19" i="2"/>
  <c r="D19" i="2"/>
  <c r="C19" i="2"/>
  <c r="B19" i="2"/>
  <c r="G18" i="2"/>
  <c r="F18" i="2"/>
  <c r="E18" i="2"/>
  <c r="D18" i="2"/>
  <c r="C18" i="2"/>
  <c r="B18" i="2"/>
  <c r="G17" i="2"/>
  <c r="F17" i="2"/>
  <c r="E17" i="2"/>
  <c r="D17" i="2"/>
  <c r="C17" i="2"/>
  <c r="B17" i="2"/>
  <c r="G16" i="2"/>
  <c r="F16" i="2"/>
  <c r="E16" i="2"/>
  <c r="D16" i="2"/>
  <c r="C16" i="2"/>
  <c r="B16" i="2"/>
  <c r="G15" i="2"/>
  <c r="F15" i="2"/>
  <c r="E15" i="2"/>
  <c r="D15" i="2"/>
  <c r="C15" i="2"/>
  <c r="B15" i="2"/>
  <c r="G14" i="2"/>
  <c r="F14" i="2"/>
  <c r="E14" i="2"/>
  <c r="D14" i="2"/>
  <c r="C14" i="2"/>
  <c r="B14" i="2"/>
</calcChain>
</file>

<file path=xl/sharedStrings.xml><?xml version="1.0" encoding="utf-8"?>
<sst xmlns="http://schemas.openxmlformats.org/spreadsheetml/2006/main" count="20" uniqueCount="15">
  <si>
    <t>Висновок</t>
  </si>
  <si>
    <t>Когортна таблиця</t>
  </si>
  <si>
    <t>Загальної Кількості Користувачів</t>
  </si>
  <si>
    <t>У загальному всі когорти мають добрий Retention Rate - стабільно більше 50% у перші три періоди. Показник поступово зменшується з часом, але найбільший скачок відбувався у першому місяці (на 30%), далі - не більше 15%.</t>
  </si>
  <si>
    <t xml:space="preserve"> Когорта березня була значно менша за всі інші, необхідно звернути увагу на зміни, що відбувалися у той місяць. </t>
  </si>
  <si>
    <t>Користувачі, що прийшли органічно становлять більшість кожної з когорт і мають набагато кращий Retention Rate за тих, що прийшли з промо. Показник і більший, і стабільніший. Проте кількість таких користувачів потроху зменшується з кожною когортою.</t>
  </si>
  <si>
    <t>Кількість користувачів, що прийшли з промо, навпаки потроху збільшується. Хоча Retention Rate при цьому падає.</t>
  </si>
  <si>
    <t>Такі користувачі хоч і непогано поверталися у перші місяці (&gt;50%), потім їх кількість стрімко наближується до 0.</t>
  </si>
  <si>
    <t>У підсумку, можу сказати що промо-акції потрібно передивитися та змінити, адже вони не дають ні кількість, ні якість. Органічний метод, навпаки більш дієвий і має бути добре забезпечений та простий для нових користувачів.</t>
  </si>
  <si>
    <t>promo_signup_flag</t>
  </si>
  <si>
    <t>cohort_month</t>
  </si>
  <si>
    <t>month_offset</t>
  </si>
  <si>
    <t>users_total</t>
  </si>
  <si>
    <t>SUM of users_total</t>
  </si>
  <si>
    <t>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</si>
</sst>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7" x14ac:knownFonts="1">
    <font>
      <sz val="10"/>
      <color rgb="FF000000"/>
      <name val="Arial"/>
      <scheme val="minor"/>
    </font>
    <font>
      <sz val="11"/>
      <color theme="1"/>
      <name val="Arial"/>
      <scheme val="minor"/>
    </font>
    <font>
      <b/>
      <sz val="11"/>
      <color theme="1"/>
      <name val="Arial"/>
      <scheme val="minor"/>
    </font>
    <font>
      <sz val="10"/>
      <color theme="1"/>
      <name val="Arial"/>
      <scheme val="minor"/>
    </font>
    <font>
      <sz val="10"/>
      <name val="Arial"/>
    </font>
    <font>
      <b/>
      <sz val="13"/>
      <color theme="1"/>
      <name val="Arial"/>
      <scheme val="minor"/>
    </font>
    <font>
      <b/>
      <sz val="10"/>
      <color rgb="FFFFFFFF"/>
      <name val="Arial"/>
      <scheme val="minor"/>
    </font>
  </fonts>
  <fills count="5">
    <fill>
      <patternFill patternType="none"/>
    </fill>
    <fill>
      <patternFill patternType="gray125"/>
    </fill>
    <fill>
      <patternFill patternType="solid">
        <fgColor rgb="FFEAD1DC"/>
        <bgColor rgb="FFEAD1DC"/>
      </patternFill>
    </fill>
    <fill>
      <patternFill patternType="solid">
        <fgColor rgb="FF45818E"/>
        <bgColor rgb="FF45818E"/>
      </patternFill>
    </fill>
    <fill>
      <patternFill patternType="solid">
        <fgColor rgb="FFF3F3F3"/>
        <bgColor rgb="FFF3F3F3"/>
      </patternFill>
    </fill>
  </fills>
  <borders count="19">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164" fontId="3" fillId="0" borderId="0" xfId="0" applyNumberFormat="1" applyFont="1" applyAlignment="1"/>
    <xf numFmtId="0" fontId="3" fillId="2" borderId="0" xfId="0" applyFont="1" applyFill="1"/>
    <xf numFmtId="0" fontId="5" fillId="0" borderId="0" xfId="0" applyFont="1" applyAlignment="1"/>
    <xf numFmtId="0" fontId="6" fillId="3" borderId="0" xfId="0" applyFont="1" applyFill="1"/>
    <xf numFmtId="164" fontId="3" fillId="4" borderId="0" xfId="0" applyNumberFormat="1" applyFont="1" applyFill="1"/>
    <xf numFmtId="9" fontId="3" fillId="0" borderId="0" xfId="0" applyNumberFormat="1" applyFont="1"/>
    <xf numFmtId="0" fontId="3" fillId="0" borderId="1" xfId="0" applyFont="1" applyBorder="1" applyAlignment="1">
      <alignment horizontal="center" vertical="center"/>
    </xf>
    <xf numFmtId="0" fontId="4" fillId="0" borderId="2"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3" fillId="0" borderId="1" xfId="0" applyFont="1" applyBorder="1" applyAlignment="1">
      <alignment vertical="center" wrapText="1"/>
    </xf>
    <xf numFmtId="0" fontId="4" fillId="0" borderId="3" xfId="0" applyFont="1" applyBorder="1"/>
    <xf numFmtId="0" fontId="3" fillId="0" borderId="4" xfId="0" applyFont="1" applyBorder="1" applyAlignment="1">
      <alignment vertical="center" wrapText="1"/>
    </xf>
    <xf numFmtId="0" fontId="0" fillId="0" borderId="0" xfId="0" applyFont="1" applyAlignment="1"/>
    <xf numFmtId="0" fontId="3" fillId="0" borderId="6" xfId="0" applyFont="1" applyBorder="1" applyAlignment="1">
      <alignment vertical="center" wrapText="1"/>
    </xf>
    <xf numFmtId="0" fontId="4" fillId="0" borderId="8" xfId="0" applyFont="1" applyBorder="1"/>
    <xf numFmtId="0" fontId="0" fillId="0" borderId="9" xfId="0" pivotButton="1" applyFont="1" applyBorder="1" applyAlignment="1"/>
    <xf numFmtId="0" fontId="0" fillId="0" borderId="10" xfId="0" applyFont="1" applyBorder="1" applyAlignment="1"/>
    <xf numFmtId="0" fontId="0" fillId="0" borderId="11" xfId="0" applyFont="1" applyBorder="1" applyAlignment="1"/>
    <xf numFmtId="0" fontId="0" fillId="0" borderId="9" xfId="0" applyFont="1" applyBorder="1" applyAlignment="1"/>
    <xf numFmtId="0" fontId="0" fillId="0" borderId="12" xfId="0" applyFont="1" applyBorder="1" applyAlignment="1"/>
    <xf numFmtId="0" fontId="0" fillId="0" borderId="13" xfId="0" applyFont="1" applyBorder="1" applyAlignment="1"/>
    <xf numFmtId="164" fontId="0" fillId="0" borderId="9" xfId="0" applyNumberFormat="1" applyFont="1" applyBorder="1" applyAlignment="1"/>
    <xf numFmtId="0" fontId="0" fillId="0" borderId="9" xfId="0" applyNumberFormat="1" applyFont="1" applyBorder="1" applyAlignment="1"/>
    <xf numFmtId="0" fontId="0" fillId="0" borderId="12" xfId="0" applyNumberFormat="1" applyFont="1" applyBorder="1" applyAlignment="1"/>
    <xf numFmtId="0" fontId="0" fillId="0" borderId="13" xfId="0" applyNumberFormat="1" applyFont="1" applyBorder="1" applyAlignment="1"/>
    <xf numFmtId="164" fontId="0" fillId="0" borderId="14" xfId="0" applyNumberFormat="1" applyFont="1" applyBorder="1" applyAlignment="1"/>
    <xf numFmtId="0" fontId="0" fillId="0" borderId="14" xfId="0" applyNumberFormat="1" applyFont="1" applyBorder="1" applyAlignment="1"/>
    <xf numFmtId="0" fontId="0" fillId="0" borderId="0" xfId="0" applyNumberFormat="1" applyFont="1" applyAlignment="1"/>
    <xf numFmtId="0" fontId="0" fillId="0" borderId="15" xfId="0" applyNumberFormat="1" applyFont="1" applyBorder="1" applyAlignment="1"/>
    <xf numFmtId="164" fontId="0" fillId="0" borderId="16" xfId="0" applyNumberFormat="1" applyFont="1" applyBorder="1" applyAlignment="1"/>
    <xf numFmtId="0" fontId="0" fillId="0" borderId="16" xfId="0" applyNumberFormat="1" applyFont="1" applyBorder="1" applyAlignment="1"/>
    <xf numFmtId="0" fontId="0" fillId="0" borderId="17" xfId="0" applyNumberFormat="1" applyFont="1" applyBorder="1" applyAlignment="1"/>
    <xf numFmtId="0" fontId="0" fillId="0" borderId="18"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7</xdr:col>
      <xdr:colOff>866775</xdr:colOff>
      <xdr:row>2</xdr:row>
      <xdr:rowOff>85725</xdr:rowOff>
    </xdr:from>
    <xdr:ext cx="2857500" cy="2857500"/>
    <mc:AlternateContent xmlns:mc="http://schemas.openxmlformats.org/markup-compatibility/2006" xmlns:sle15="http://schemas.microsoft.com/office/drawing/2012/slicer">
      <mc:Choice Requires="sle15">
        <xdr:graphicFrame macro="">
          <xdr:nvGraphicFramePr>
            <xdr:cNvPr id="2" name="promo_signup_flag_1"/>
            <xdr:cNvGraphicFramePr/>
          </xdr:nvGraphicFramePr>
          <xdr:xfrm>
            <a:off x="0" y="0"/>
            <a:ext cx="0" cy="0"/>
          </xdr:xfrm>
          <a:graphic>
            <a:graphicData uri="http://schemas.microsoft.com/office/drawing/2010/slicer">
              <sle:slicer xmlns:sle="http://schemas.microsoft.com/office/drawing/2010/slicer" name="promo_signup_flag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Aya" refreshedDate="46303.638044907406" refreshedVersion="6" recordCount="42">
  <cacheSource type="worksheet">
    <worksheetSource ref="A1:D43" sheet="Data"/>
  </cacheSource>
  <cacheFields count="4">
    <cacheField name="promo_signup_flag" numFmtId="0">
      <sharedItems containsSemiMixedTypes="0" containsString="0" containsNumber="1" containsInteger="1" minValue="0" maxValue="1"/>
    </cacheField>
    <cacheField name="cohort_month" numFmtId="164">
      <sharedItems containsSemiMixedTypes="0" containsNonDate="0" containsDate="1" containsString="0" minDate="2025-01-01T00:00:00" maxDate="2025-06-02T00:00:00" count="6">
        <d v="2025-01-01T00:00:00"/>
        <d v="2025-02-01T00:00:00"/>
        <d v="2025-03-01T00:00:00"/>
        <d v="2025-04-01T00:00:00"/>
        <d v="2025-05-01T00:00:00"/>
        <d v="2025-06-01T00:00:00"/>
      </sharedItems>
    </cacheField>
    <cacheField name="month_offset" numFmtId="0">
      <sharedItems containsSemiMixedTypes="0" containsString="0" containsNumber="1" containsInteger="1" minValue="0" maxValue="5" count="6">
        <n v="0"/>
        <n v="1"/>
        <n v="2"/>
        <n v="3"/>
        <n v="4"/>
        <n v="5"/>
      </sharedItems>
    </cacheField>
    <cacheField name="users_total" numFmtId="0">
      <sharedItems containsSemiMixedTypes="0" containsString="0" containsNumber="1" containsInteger="1" minValue="3" maxValue="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
  <r>
    <n v="0"/>
    <x v="0"/>
    <x v="0"/>
    <n v="70"/>
  </r>
  <r>
    <n v="0"/>
    <x v="0"/>
    <x v="1"/>
    <n v="58"/>
  </r>
  <r>
    <n v="0"/>
    <x v="0"/>
    <x v="2"/>
    <n v="54"/>
  </r>
  <r>
    <n v="0"/>
    <x v="0"/>
    <x v="3"/>
    <n v="52"/>
  </r>
  <r>
    <n v="0"/>
    <x v="0"/>
    <x v="4"/>
    <n v="43"/>
  </r>
  <r>
    <n v="0"/>
    <x v="0"/>
    <x v="5"/>
    <n v="39"/>
  </r>
  <r>
    <n v="0"/>
    <x v="1"/>
    <x v="0"/>
    <n v="63"/>
  </r>
  <r>
    <n v="0"/>
    <x v="1"/>
    <x v="1"/>
    <n v="46"/>
  </r>
  <r>
    <n v="0"/>
    <x v="1"/>
    <x v="2"/>
    <n v="48"/>
  </r>
  <r>
    <n v="0"/>
    <x v="1"/>
    <x v="3"/>
    <n v="49"/>
  </r>
  <r>
    <n v="0"/>
    <x v="1"/>
    <x v="4"/>
    <n v="43"/>
  </r>
  <r>
    <n v="0"/>
    <x v="2"/>
    <x v="0"/>
    <n v="51"/>
  </r>
  <r>
    <n v="0"/>
    <x v="2"/>
    <x v="1"/>
    <n v="41"/>
  </r>
  <r>
    <n v="0"/>
    <x v="2"/>
    <x v="2"/>
    <n v="47"/>
  </r>
  <r>
    <n v="0"/>
    <x v="2"/>
    <x v="3"/>
    <n v="41"/>
  </r>
  <r>
    <n v="0"/>
    <x v="3"/>
    <x v="0"/>
    <n v="61"/>
  </r>
  <r>
    <n v="0"/>
    <x v="3"/>
    <x v="1"/>
    <n v="50"/>
  </r>
  <r>
    <n v="0"/>
    <x v="3"/>
    <x v="2"/>
    <n v="47"/>
  </r>
  <r>
    <n v="0"/>
    <x v="4"/>
    <x v="0"/>
    <n v="63"/>
  </r>
  <r>
    <n v="0"/>
    <x v="4"/>
    <x v="1"/>
    <n v="55"/>
  </r>
  <r>
    <n v="0"/>
    <x v="5"/>
    <x v="0"/>
    <n v="50"/>
  </r>
  <r>
    <n v="1"/>
    <x v="0"/>
    <x v="0"/>
    <n v="34"/>
  </r>
  <r>
    <n v="1"/>
    <x v="0"/>
    <x v="1"/>
    <n v="21"/>
  </r>
  <r>
    <n v="1"/>
    <x v="0"/>
    <x v="2"/>
    <n v="17"/>
  </r>
  <r>
    <n v="1"/>
    <x v="0"/>
    <x v="3"/>
    <n v="3"/>
  </r>
  <r>
    <n v="1"/>
    <x v="0"/>
    <x v="4"/>
    <n v="6"/>
  </r>
  <r>
    <n v="1"/>
    <x v="0"/>
    <x v="5"/>
    <n v="3"/>
  </r>
  <r>
    <n v="1"/>
    <x v="1"/>
    <x v="0"/>
    <n v="41"/>
  </r>
  <r>
    <n v="1"/>
    <x v="1"/>
    <x v="1"/>
    <n v="24"/>
  </r>
  <r>
    <n v="1"/>
    <x v="1"/>
    <x v="2"/>
    <n v="17"/>
  </r>
  <r>
    <n v="1"/>
    <x v="1"/>
    <x v="3"/>
    <n v="13"/>
  </r>
  <r>
    <n v="1"/>
    <x v="1"/>
    <x v="4"/>
    <n v="8"/>
  </r>
  <r>
    <n v="1"/>
    <x v="2"/>
    <x v="0"/>
    <n v="31"/>
  </r>
  <r>
    <n v="1"/>
    <x v="2"/>
    <x v="1"/>
    <n v="18"/>
  </r>
  <r>
    <n v="1"/>
    <x v="2"/>
    <x v="2"/>
    <n v="14"/>
  </r>
  <r>
    <n v="1"/>
    <x v="2"/>
    <x v="3"/>
    <n v="11"/>
  </r>
  <r>
    <n v="1"/>
    <x v="3"/>
    <x v="0"/>
    <n v="44"/>
  </r>
  <r>
    <n v="1"/>
    <x v="3"/>
    <x v="1"/>
    <n v="24"/>
  </r>
  <r>
    <n v="1"/>
    <x v="3"/>
    <x v="2"/>
    <n v="14"/>
  </r>
  <r>
    <n v="1"/>
    <x v="4"/>
    <x v="0"/>
    <n v="45"/>
  </r>
  <r>
    <n v="1"/>
    <x v="4"/>
    <x v="1"/>
    <n v="21"/>
  </r>
  <r>
    <n v="1"/>
    <x v="5"/>
    <x v="0"/>
    <n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4" applyNumberFormats="0" applyBorderFormats="0" applyFontFormats="0" applyPatternFormats="0" applyAlignmentFormats="0" applyWidthHeightFormats="0" dataCaption="" updatedVersion="6" rowGrandTotals="0" colGrandTotals="0" compact="0" compactData="0">
  <location ref="A2:G9" firstHeaderRow="1" firstDataRow="2" firstDataCol="1"/>
  <pivotFields count="4">
    <pivotField name="promo_signup_flag" compact="0" outline="0" multipleItemSelectionAllowed="1" showAll="0"/>
    <pivotField name="cohort_month" axis="axisRow" compact="0" numFmtId="164" outline="0" multipleItemSelectionAllowed="1" showAll="0" sortType="ascending">
      <items count="7">
        <item x="0"/>
        <item x="1"/>
        <item x="2"/>
        <item x="3"/>
        <item x="4"/>
        <item x="5"/>
        <item t="default"/>
      </items>
    </pivotField>
    <pivotField name="month_offset" axis="axisCol" compact="0" outline="0" multipleItemSelectionAllowed="1" showAll="0" sortType="ascending">
      <items count="7">
        <item x="0"/>
        <item x="1"/>
        <item x="2"/>
        <item x="3"/>
        <item x="4"/>
        <item x="5"/>
        <item t="default"/>
      </items>
    </pivotField>
    <pivotField name="users_total" dataField="1" compact="0" outline="0" multipleItemSelectionAllowed="1" showAll="0"/>
  </pivotFields>
  <rowFields count="1">
    <field x="1"/>
  </rowFields>
  <rowItems count="6">
    <i>
      <x/>
    </i>
    <i>
      <x v="1"/>
    </i>
    <i>
      <x v="2"/>
    </i>
    <i>
      <x v="3"/>
    </i>
    <i>
      <x v="4"/>
    </i>
    <i>
      <x v="5"/>
    </i>
  </rowItems>
  <colFields count="1">
    <field x="2"/>
  </colFields>
  <colItems count="6">
    <i>
      <x/>
    </i>
    <i>
      <x v="1"/>
    </i>
    <i>
      <x v="2"/>
    </i>
    <i>
      <x v="3"/>
    </i>
    <i>
      <x v="4"/>
    </i>
    <i>
      <x v="5"/>
    </i>
  </colItems>
  <dataFields count="1">
    <dataField name="SUM of users_total" fld="3" baseField="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Cache_Table_1_Col_1" sourceName="promo_signup_flag">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mo_signup_flag_1" cache="SlicerCache_Table_1_Col_1" caption="promo_signup_flag" rowHeight="247650"/>
</slicers>
</file>

<file path=xl/tables/table1.xml><?xml version="1.0" encoding="utf-8"?>
<table xmlns="http://schemas.openxmlformats.org/spreadsheetml/2006/main" id="1" name="Table_1" displayName="Table_1" ref="A1:D43">
  <autoFilter ref="A1:D43"/>
  <tableColumns count="4">
    <tableColumn id="1" name="promo_signup_flag"/>
    <tableColumn id="2" name="cohort_month"/>
    <tableColumn id="3" name="month_offset"/>
    <tableColumn id="4" name="users_total"/>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43"/>
  <sheetViews>
    <sheetView workbookViewId="0"/>
  </sheetViews>
  <sheetFormatPr defaultColWidth="12.6640625" defaultRowHeight="15.75" customHeight="1" x14ac:dyDescent="0.25"/>
  <sheetData>
    <row r="1" spans="1:4" x14ac:dyDescent="0.25">
      <c r="A1" s="3" t="s">
        <v>9</v>
      </c>
      <c r="B1" s="3" t="s">
        <v>10</v>
      </c>
      <c r="C1" s="3" t="s">
        <v>11</v>
      </c>
      <c r="D1" s="3" t="s">
        <v>12</v>
      </c>
    </row>
    <row r="2" spans="1:4" x14ac:dyDescent="0.25">
      <c r="A2" s="3">
        <v>0</v>
      </c>
      <c r="B2" s="4">
        <v>45658</v>
      </c>
      <c r="C2" s="3">
        <v>0</v>
      </c>
      <c r="D2" s="3">
        <v>70</v>
      </c>
    </row>
    <row r="3" spans="1:4" x14ac:dyDescent="0.25">
      <c r="A3" s="3">
        <v>0</v>
      </c>
      <c r="B3" s="4">
        <v>45658</v>
      </c>
      <c r="C3" s="3">
        <v>1</v>
      </c>
      <c r="D3" s="3">
        <v>58</v>
      </c>
    </row>
    <row r="4" spans="1:4" x14ac:dyDescent="0.25">
      <c r="A4" s="3">
        <v>0</v>
      </c>
      <c r="B4" s="4">
        <v>45658</v>
      </c>
      <c r="C4" s="3">
        <v>2</v>
      </c>
      <c r="D4" s="3">
        <v>54</v>
      </c>
    </row>
    <row r="5" spans="1:4" x14ac:dyDescent="0.25">
      <c r="A5" s="3">
        <v>0</v>
      </c>
      <c r="B5" s="4">
        <v>45658</v>
      </c>
      <c r="C5" s="3">
        <v>3</v>
      </c>
      <c r="D5" s="3">
        <v>52</v>
      </c>
    </row>
    <row r="6" spans="1:4" x14ac:dyDescent="0.25">
      <c r="A6" s="3">
        <v>0</v>
      </c>
      <c r="B6" s="4">
        <v>45658</v>
      </c>
      <c r="C6" s="3">
        <v>4</v>
      </c>
      <c r="D6" s="3">
        <v>43</v>
      </c>
    </row>
    <row r="7" spans="1:4" x14ac:dyDescent="0.25">
      <c r="A7" s="3">
        <v>0</v>
      </c>
      <c r="B7" s="4">
        <v>45658</v>
      </c>
      <c r="C7" s="3">
        <v>5</v>
      </c>
      <c r="D7" s="3">
        <v>39</v>
      </c>
    </row>
    <row r="8" spans="1:4" x14ac:dyDescent="0.25">
      <c r="A8" s="3">
        <v>0</v>
      </c>
      <c r="B8" s="4">
        <v>45689</v>
      </c>
      <c r="C8" s="3">
        <v>0</v>
      </c>
      <c r="D8" s="3">
        <v>63</v>
      </c>
    </row>
    <row r="9" spans="1:4" x14ac:dyDescent="0.25">
      <c r="A9" s="3">
        <v>0</v>
      </c>
      <c r="B9" s="4">
        <v>45689</v>
      </c>
      <c r="C9" s="3">
        <v>1</v>
      </c>
      <c r="D9" s="3">
        <v>46</v>
      </c>
    </row>
    <row r="10" spans="1:4" x14ac:dyDescent="0.25">
      <c r="A10" s="3">
        <v>0</v>
      </c>
      <c r="B10" s="4">
        <v>45689</v>
      </c>
      <c r="C10" s="3">
        <v>2</v>
      </c>
      <c r="D10" s="3">
        <v>48</v>
      </c>
    </row>
    <row r="11" spans="1:4" x14ac:dyDescent="0.25">
      <c r="A11" s="3">
        <v>0</v>
      </c>
      <c r="B11" s="4">
        <v>45689</v>
      </c>
      <c r="C11" s="3">
        <v>3</v>
      </c>
      <c r="D11" s="3">
        <v>49</v>
      </c>
    </row>
    <row r="12" spans="1:4" x14ac:dyDescent="0.25">
      <c r="A12" s="3">
        <v>0</v>
      </c>
      <c r="B12" s="4">
        <v>45689</v>
      </c>
      <c r="C12" s="3">
        <v>4</v>
      </c>
      <c r="D12" s="3">
        <v>43</v>
      </c>
    </row>
    <row r="13" spans="1:4" x14ac:dyDescent="0.25">
      <c r="A13" s="3">
        <v>0</v>
      </c>
      <c r="B13" s="4">
        <v>45717</v>
      </c>
      <c r="C13" s="3">
        <v>0</v>
      </c>
      <c r="D13" s="3">
        <v>51</v>
      </c>
    </row>
    <row r="14" spans="1:4" x14ac:dyDescent="0.25">
      <c r="A14" s="3">
        <v>0</v>
      </c>
      <c r="B14" s="4">
        <v>45717</v>
      </c>
      <c r="C14" s="3">
        <v>1</v>
      </c>
      <c r="D14" s="3">
        <v>41</v>
      </c>
    </row>
    <row r="15" spans="1:4" x14ac:dyDescent="0.25">
      <c r="A15" s="3">
        <v>0</v>
      </c>
      <c r="B15" s="4">
        <v>45717</v>
      </c>
      <c r="C15" s="3">
        <v>2</v>
      </c>
      <c r="D15" s="3">
        <v>47</v>
      </c>
    </row>
    <row r="16" spans="1:4" x14ac:dyDescent="0.25">
      <c r="A16" s="3">
        <v>0</v>
      </c>
      <c r="B16" s="4">
        <v>45717</v>
      </c>
      <c r="C16" s="3">
        <v>3</v>
      </c>
      <c r="D16" s="3">
        <v>41</v>
      </c>
    </row>
    <row r="17" spans="1:4" x14ac:dyDescent="0.25">
      <c r="A17" s="3">
        <v>0</v>
      </c>
      <c r="B17" s="4">
        <v>45748</v>
      </c>
      <c r="C17" s="3">
        <v>0</v>
      </c>
      <c r="D17" s="3">
        <v>61</v>
      </c>
    </row>
    <row r="18" spans="1:4" x14ac:dyDescent="0.25">
      <c r="A18" s="3">
        <v>0</v>
      </c>
      <c r="B18" s="4">
        <v>45748</v>
      </c>
      <c r="C18" s="3">
        <v>1</v>
      </c>
      <c r="D18" s="3">
        <v>50</v>
      </c>
    </row>
    <row r="19" spans="1:4" x14ac:dyDescent="0.25">
      <c r="A19" s="3">
        <v>0</v>
      </c>
      <c r="B19" s="4">
        <v>45748</v>
      </c>
      <c r="C19" s="3">
        <v>2</v>
      </c>
      <c r="D19" s="3">
        <v>47</v>
      </c>
    </row>
    <row r="20" spans="1:4" x14ac:dyDescent="0.25">
      <c r="A20" s="3">
        <v>0</v>
      </c>
      <c r="B20" s="4">
        <v>45778</v>
      </c>
      <c r="C20" s="3">
        <v>0</v>
      </c>
      <c r="D20" s="3">
        <v>63</v>
      </c>
    </row>
    <row r="21" spans="1:4" x14ac:dyDescent="0.25">
      <c r="A21" s="3">
        <v>0</v>
      </c>
      <c r="B21" s="4">
        <v>45778</v>
      </c>
      <c r="C21" s="3">
        <v>1</v>
      </c>
      <c r="D21" s="3">
        <v>55</v>
      </c>
    </row>
    <row r="22" spans="1:4" x14ac:dyDescent="0.25">
      <c r="A22" s="3">
        <v>0</v>
      </c>
      <c r="B22" s="4">
        <v>45809</v>
      </c>
      <c r="C22" s="3">
        <v>0</v>
      </c>
      <c r="D22" s="3">
        <v>50</v>
      </c>
    </row>
    <row r="23" spans="1:4" x14ac:dyDescent="0.25">
      <c r="A23" s="3">
        <v>1</v>
      </c>
      <c r="B23" s="4">
        <v>45658</v>
      </c>
      <c r="C23" s="3">
        <v>0</v>
      </c>
      <c r="D23" s="3">
        <v>34</v>
      </c>
    </row>
    <row r="24" spans="1:4" x14ac:dyDescent="0.25">
      <c r="A24" s="3">
        <v>1</v>
      </c>
      <c r="B24" s="4">
        <v>45658</v>
      </c>
      <c r="C24" s="3">
        <v>1</v>
      </c>
      <c r="D24" s="3">
        <v>21</v>
      </c>
    </row>
    <row r="25" spans="1:4" x14ac:dyDescent="0.25">
      <c r="A25" s="3">
        <v>1</v>
      </c>
      <c r="B25" s="4">
        <v>45658</v>
      </c>
      <c r="C25" s="3">
        <v>2</v>
      </c>
      <c r="D25" s="3">
        <v>17</v>
      </c>
    </row>
    <row r="26" spans="1:4" x14ac:dyDescent="0.25">
      <c r="A26" s="3">
        <v>1</v>
      </c>
      <c r="B26" s="4">
        <v>45658</v>
      </c>
      <c r="C26" s="3">
        <v>3</v>
      </c>
      <c r="D26" s="3">
        <v>3</v>
      </c>
    </row>
    <row r="27" spans="1:4" x14ac:dyDescent="0.25">
      <c r="A27" s="3">
        <v>1</v>
      </c>
      <c r="B27" s="4">
        <v>45658</v>
      </c>
      <c r="C27" s="3">
        <v>4</v>
      </c>
      <c r="D27" s="3">
        <v>6</v>
      </c>
    </row>
    <row r="28" spans="1:4" x14ac:dyDescent="0.25">
      <c r="A28" s="3">
        <v>1</v>
      </c>
      <c r="B28" s="4">
        <v>45658</v>
      </c>
      <c r="C28" s="3">
        <v>5</v>
      </c>
      <c r="D28" s="3">
        <v>3</v>
      </c>
    </row>
    <row r="29" spans="1:4" x14ac:dyDescent="0.25">
      <c r="A29" s="3">
        <v>1</v>
      </c>
      <c r="B29" s="4">
        <v>45689</v>
      </c>
      <c r="C29" s="3">
        <v>0</v>
      </c>
      <c r="D29" s="3">
        <v>41</v>
      </c>
    </row>
    <row r="30" spans="1:4" x14ac:dyDescent="0.25">
      <c r="A30" s="3">
        <v>1</v>
      </c>
      <c r="B30" s="4">
        <v>45689</v>
      </c>
      <c r="C30" s="3">
        <v>1</v>
      </c>
      <c r="D30" s="3">
        <v>24</v>
      </c>
    </row>
    <row r="31" spans="1:4" x14ac:dyDescent="0.25">
      <c r="A31" s="3">
        <v>1</v>
      </c>
      <c r="B31" s="4">
        <v>45689</v>
      </c>
      <c r="C31" s="3">
        <v>2</v>
      </c>
      <c r="D31" s="3">
        <v>17</v>
      </c>
    </row>
    <row r="32" spans="1:4" x14ac:dyDescent="0.25">
      <c r="A32" s="3">
        <v>1</v>
      </c>
      <c r="B32" s="4">
        <v>45689</v>
      </c>
      <c r="C32" s="3">
        <v>3</v>
      </c>
      <c r="D32" s="3">
        <v>13</v>
      </c>
    </row>
    <row r="33" spans="1:4" x14ac:dyDescent="0.25">
      <c r="A33" s="3">
        <v>1</v>
      </c>
      <c r="B33" s="4">
        <v>45689</v>
      </c>
      <c r="C33" s="3">
        <v>4</v>
      </c>
      <c r="D33" s="3">
        <v>8</v>
      </c>
    </row>
    <row r="34" spans="1:4" x14ac:dyDescent="0.25">
      <c r="A34" s="3">
        <v>1</v>
      </c>
      <c r="B34" s="4">
        <v>45717</v>
      </c>
      <c r="C34" s="3">
        <v>0</v>
      </c>
      <c r="D34" s="3">
        <v>31</v>
      </c>
    </row>
    <row r="35" spans="1:4" x14ac:dyDescent="0.25">
      <c r="A35" s="3">
        <v>1</v>
      </c>
      <c r="B35" s="4">
        <v>45717</v>
      </c>
      <c r="C35" s="3">
        <v>1</v>
      </c>
      <c r="D35" s="3">
        <v>18</v>
      </c>
    </row>
    <row r="36" spans="1:4" x14ac:dyDescent="0.25">
      <c r="A36" s="3">
        <v>1</v>
      </c>
      <c r="B36" s="4">
        <v>45717</v>
      </c>
      <c r="C36" s="3">
        <v>2</v>
      </c>
      <c r="D36" s="3">
        <v>14</v>
      </c>
    </row>
    <row r="37" spans="1:4" x14ac:dyDescent="0.25">
      <c r="A37" s="3">
        <v>1</v>
      </c>
      <c r="B37" s="4">
        <v>45717</v>
      </c>
      <c r="C37" s="3">
        <v>3</v>
      </c>
      <c r="D37" s="3">
        <v>11</v>
      </c>
    </row>
    <row r="38" spans="1:4" x14ac:dyDescent="0.25">
      <c r="A38" s="3">
        <v>1</v>
      </c>
      <c r="B38" s="4">
        <v>45748</v>
      </c>
      <c r="C38" s="3">
        <v>0</v>
      </c>
      <c r="D38" s="3">
        <v>44</v>
      </c>
    </row>
    <row r="39" spans="1:4" x14ac:dyDescent="0.25">
      <c r="A39" s="3">
        <v>1</v>
      </c>
      <c r="B39" s="4">
        <v>45748</v>
      </c>
      <c r="C39" s="3">
        <v>1</v>
      </c>
      <c r="D39" s="3">
        <v>24</v>
      </c>
    </row>
    <row r="40" spans="1:4" x14ac:dyDescent="0.25">
      <c r="A40" s="3">
        <v>1</v>
      </c>
      <c r="B40" s="4">
        <v>45748</v>
      </c>
      <c r="C40" s="3">
        <v>2</v>
      </c>
      <c r="D40" s="3">
        <v>14</v>
      </c>
    </row>
    <row r="41" spans="1:4" x14ac:dyDescent="0.25">
      <c r="A41" s="3">
        <v>1</v>
      </c>
      <c r="B41" s="4">
        <v>45778</v>
      </c>
      <c r="C41" s="3">
        <v>0</v>
      </c>
      <c r="D41" s="3">
        <v>45</v>
      </c>
    </row>
    <row r="42" spans="1:4" x14ac:dyDescent="0.25">
      <c r="A42" s="3">
        <v>1</v>
      </c>
      <c r="B42" s="4">
        <v>45778</v>
      </c>
      <c r="C42" s="3">
        <v>1</v>
      </c>
      <c r="D42" s="3">
        <v>21</v>
      </c>
    </row>
    <row r="43" spans="1:4" x14ac:dyDescent="0.25">
      <c r="A43" s="3">
        <v>1</v>
      </c>
      <c r="B43" s="4">
        <v>45809</v>
      </c>
      <c r="C43" s="3">
        <v>0</v>
      </c>
      <c r="D43" s="3">
        <v>47</v>
      </c>
    </row>
  </sheetData>
  <customSheetViews>
    <customSheetView guid="{D207F36B-2F2A-4866-92C4-D01E3801118B}" filter="1" showAutoFilter="1">
      <pageMargins left="0.7" right="0.7" top="0.75" bottom="0.75" header="0.3" footer="0.3"/>
      <autoFilter ref="A1:D43"/>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9"/>
  <sheetViews>
    <sheetView tabSelected="1" workbookViewId="0">
      <selection activeCell="F20" sqref="F20"/>
    </sheetView>
  </sheetViews>
  <sheetFormatPr defaultColWidth="12.6640625" defaultRowHeight="15.75" customHeight="1" x14ac:dyDescent="0.25"/>
  <cols>
    <col min="1" max="1" width="16" customWidth="1"/>
  </cols>
  <sheetData>
    <row r="1" spans="1:7" x14ac:dyDescent="0.25">
      <c r="A1" s="1" t="s">
        <v>1</v>
      </c>
      <c r="B1" s="2" t="s">
        <v>2</v>
      </c>
    </row>
    <row r="2" spans="1:7" x14ac:dyDescent="0.25">
      <c r="A2" s="22" t="s">
        <v>13</v>
      </c>
      <c r="B2" s="22" t="s">
        <v>11</v>
      </c>
      <c r="C2" s="23"/>
      <c r="D2" s="23"/>
      <c r="E2" s="23"/>
      <c r="F2" s="23"/>
      <c r="G2" s="24"/>
    </row>
    <row r="3" spans="1:7" x14ac:dyDescent="0.25">
      <c r="A3" s="22" t="s">
        <v>10</v>
      </c>
      <c r="B3" s="25">
        <v>0</v>
      </c>
      <c r="C3" s="26">
        <v>1</v>
      </c>
      <c r="D3" s="26">
        <v>2</v>
      </c>
      <c r="E3" s="26">
        <v>3</v>
      </c>
      <c r="F3" s="26">
        <v>4</v>
      </c>
      <c r="G3" s="27">
        <v>5</v>
      </c>
    </row>
    <row r="4" spans="1:7" x14ac:dyDescent="0.25">
      <c r="A4" s="28">
        <v>45658</v>
      </c>
      <c r="B4" s="29">
        <v>104</v>
      </c>
      <c r="C4" s="30">
        <v>79</v>
      </c>
      <c r="D4" s="30">
        <v>71</v>
      </c>
      <c r="E4" s="30">
        <v>55</v>
      </c>
      <c r="F4" s="30">
        <v>49</v>
      </c>
      <c r="G4" s="31">
        <v>42</v>
      </c>
    </row>
    <row r="5" spans="1:7" x14ac:dyDescent="0.25">
      <c r="A5" s="32">
        <v>45689</v>
      </c>
      <c r="B5" s="33">
        <v>104</v>
      </c>
      <c r="C5" s="34">
        <v>70</v>
      </c>
      <c r="D5" s="34">
        <v>65</v>
      </c>
      <c r="E5" s="34">
        <v>62</v>
      </c>
      <c r="F5" s="34">
        <v>51</v>
      </c>
      <c r="G5" s="35"/>
    </row>
    <row r="6" spans="1:7" x14ac:dyDescent="0.25">
      <c r="A6" s="32">
        <v>45717</v>
      </c>
      <c r="B6" s="33">
        <v>82</v>
      </c>
      <c r="C6" s="34">
        <v>59</v>
      </c>
      <c r="D6" s="34">
        <v>61</v>
      </c>
      <c r="E6" s="34">
        <v>52</v>
      </c>
      <c r="F6" s="34"/>
      <c r="G6" s="35"/>
    </row>
    <row r="7" spans="1:7" x14ac:dyDescent="0.25">
      <c r="A7" s="32">
        <v>45748</v>
      </c>
      <c r="B7" s="33">
        <v>105</v>
      </c>
      <c r="C7" s="34">
        <v>74</v>
      </c>
      <c r="D7" s="34">
        <v>61</v>
      </c>
      <c r="E7" s="34"/>
      <c r="F7" s="34"/>
      <c r="G7" s="35"/>
    </row>
    <row r="8" spans="1:7" x14ac:dyDescent="0.25">
      <c r="A8" s="32">
        <v>45778</v>
      </c>
      <c r="B8" s="33">
        <v>108</v>
      </c>
      <c r="C8" s="34">
        <v>76</v>
      </c>
      <c r="D8" s="34"/>
      <c r="E8" s="34"/>
      <c r="F8" s="34"/>
      <c r="G8" s="35"/>
    </row>
    <row r="9" spans="1:7" x14ac:dyDescent="0.25">
      <c r="A9" s="36">
        <v>45809</v>
      </c>
      <c r="B9" s="37">
        <v>97</v>
      </c>
      <c r="C9" s="38"/>
      <c r="D9" s="38"/>
      <c r="E9" s="38"/>
      <c r="F9" s="38"/>
      <c r="G9" s="39"/>
    </row>
    <row r="11" spans="1:7" ht="15.75" customHeight="1" x14ac:dyDescent="0.3">
      <c r="A11" s="1" t="s">
        <v>1</v>
      </c>
      <c r="B11" s="6" t="s">
        <v>14</v>
      </c>
    </row>
    <row r="12" spans="1:7" x14ac:dyDescent="0.25">
      <c r="B12" s="5" t="s">
        <v>11</v>
      </c>
    </row>
    <row r="13" spans="1:7" x14ac:dyDescent="0.25">
      <c r="A13" s="5" t="s">
        <v>10</v>
      </c>
      <c r="B13" s="7">
        <v>0</v>
      </c>
      <c r="C13" s="7">
        <v>1</v>
      </c>
      <c r="D13" s="7">
        <v>2</v>
      </c>
      <c r="E13" s="7">
        <v>3</v>
      </c>
      <c r="F13" s="7">
        <v>4</v>
      </c>
      <c r="G13" s="7">
        <v>5</v>
      </c>
    </row>
    <row r="14" spans="1:7" x14ac:dyDescent="0.25">
      <c r="A14" s="8">
        <v>45658</v>
      </c>
      <c r="B14" s="9">
        <f t="shared" ref="B14:G14" si="0">IF(B4="","",B4/$B4)</f>
        <v>1</v>
      </c>
      <c r="C14" s="9">
        <f t="shared" si="0"/>
        <v>0.75961538461538458</v>
      </c>
      <c r="D14" s="9">
        <f t="shared" si="0"/>
        <v>0.68269230769230771</v>
      </c>
      <c r="E14" s="9">
        <f t="shared" si="0"/>
        <v>0.52884615384615385</v>
      </c>
      <c r="F14" s="9">
        <f t="shared" si="0"/>
        <v>0.47115384615384615</v>
      </c>
      <c r="G14" s="9">
        <f t="shared" si="0"/>
        <v>0.40384615384615385</v>
      </c>
    </row>
    <row r="15" spans="1:7" x14ac:dyDescent="0.25">
      <c r="A15" s="8">
        <v>45689</v>
      </c>
      <c r="B15" s="9">
        <f t="shared" ref="B15:G15" si="1">IF(B5="","",B5/$B5)</f>
        <v>1</v>
      </c>
      <c r="C15" s="9">
        <f t="shared" si="1"/>
        <v>0.67307692307692313</v>
      </c>
      <c r="D15" s="9">
        <f t="shared" si="1"/>
        <v>0.625</v>
      </c>
      <c r="E15" s="9">
        <f t="shared" si="1"/>
        <v>0.59615384615384615</v>
      </c>
      <c r="F15" s="9">
        <f t="shared" si="1"/>
        <v>0.49038461538461536</v>
      </c>
      <c r="G15" s="9" t="str">
        <f t="shared" si="1"/>
        <v/>
      </c>
    </row>
    <row r="16" spans="1:7" x14ac:dyDescent="0.25">
      <c r="A16" s="8">
        <v>45717</v>
      </c>
      <c r="B16" s="9">
        <f t="shared" ref="B16:G16" si="2">IF(B6="","",B6/$B6)</f>
        <v>1</v>
      </c>
      <c r="C16" s="9">
        <f t="shared" si="2"/>
        <v>0.71951219512195119</v>
      </c>
      <c r="D16" s="9">
        <f t="shared" si="2"/>
        <v>0.74390243902439024</v>
      </c>
      <c r="E16" s="9">
        <f t="shared" si="2"/>
        <v>0.63414634146341464</v>
      </c>
      <c r="F16" s="9" t="str">
        <f t="shared" si="2"/>
        <v/>
      </c>
      <c r="G16" s="9" t="str">
        <f t="shared" si="2"/>
        <v/>
      </c>
    </row>
    <row r="17" spans="1:7" x14ac:dyDescent="0.25">
      <c r="A17" s="8">
        <v>45748</v>
      </c>
      <c r="B17" s="9">
        <f t="shared" ref="B17:G17" si="3">IF(B7="","",B7/$B7)</f>
        <v>1</v>
      </c>
      <c r="C17" s="9">
        <f t="shared" si="3"/>
        <v>0.70476190476190481</v>
      </c>
      <c r="D17" s="9">
        <f t="shared" si="3"/>
        <v>0.580952380952381</v>
      </c>
      <c r="E17" s="9" t="str">
        <f t="shared" si="3"/>
        <v/>
      </c>
      <c r="F17" s="9" t="str">
        <f t="shared" si="3"/>
        <v/>
      </c>
      <c r="G17" s="9" t="str">
        <f t="shared" si="3"/>
        <v/>
      </c>
    </row>
    <row r="18" spans="1:7" x14ac:dyDescent="0.25">
      <c r="A18" s="8">
        <v>45778</v>
      </c>
      <c r="B18" s="9">
        <f t="shared" ref="B18:G18" si="4">IF(B8="","",B8/$B8)</f>
        <v>1</v>
      </c>
      <c r="C18" s="9">
        <f t="shared" si="4"/>
        <v>0.70370370370370372</v>
      </c>
      <c r="D18" s="9" t="str">
        <f t="shared" si="4"/>
        <v/>
      </c>
      <c r="E18" s="9" t="str">
        <f t="shared" si="4"/>
        <v/>
      </c>
      <c r="F18" s="9" t="str">
        <f t="shared" si="4"/>
        <v/>
      </c>
      <c r="G18" s="9" t="str">
        <f t="shared" si="4"/>
        <v/>
      </c>
    </row>
    <row r="19" spans="1:7" x14ac:dyDescent="0.25">
      <c r="A19" s="8">
        <v>45809</v>
      </c>
      <c r="B19" s="9">
        <f t="shared" ref="B19:G19" si="5">IF(B9="","",B9/$B9)</f>
        <v>1</v>
      </c>
      <c r="C19" s="9" t="str">
        <f t="shared" si="5"/>
        <v/>
      </c>
      <c r="D19" s="9" t="str">
        <f t="shared" si="5"/>
        <v/>
      </c>
      <c r="E19" s="9" t="str">
        <f t="shared" si="5"/>
        <v/>
      </c>
      <c r="F19" s="9" t="str">
        <f t="shared" si="5"/>
        <v/>
      </c>
      <c r="G19" s="9" t="str">
        <f t="shared" si="5"/>
        <v/>
      </c>
    </row>
  </sheetData>
  <conditionalFormatting pivot="1" sqref="B4:G9">
    <cfRule type="colorScale" priority="2">
      <colorScale>
        <cfvo type="min"/>
        <cfvo type="max"/>
        <color theme="9" tint="0.79998168889431442"/>
        <color theme="9" tint="-0.249977111117893"/>
      </colorScale>
    </cfRule>
  </conditionalFormatting>
  <conditionalFormatting sqref="B14:G19">
    <cfRule type="colorScale" priority="1">
      <colorScale>
        <cfvo type="min"/>
        <cfvo type="max"/>
        <color rgb="FFFCFCFF"/>
        <color rgb="FF63BE7B"/>
      </colorScale>
    </cfRule>
  </conditionalFormatting>
  <pageMargins left="0.7" right="0.7" top="0.75" bottom="0.75" header="0.3" footer="0.3"/>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
  <sheetViews>
    <sheetView workbookViewId="0">
      <selection sqref="A1:B6"/>
    </sheetView>
  </sheetViews>
  <sheetFormatPr defaultColWidth="12.6640625" defaultRowHeight="15.75" customHeight="1" x14ac:dyDescent="0.25"/>
  <sheetData>
    <row r="1" spans="1:8" ht="67.8" customHeight="1" x14ac:dyDescent="0.25">
      <c r="A1" s="10" t="s">
        <v>0</v>
      </c>
      <c r="B1" s="11"/>
      <c r="C1" s="16" t="s">
        <v>3</v>
      </c>
      <c r="D1" s="17"/>
      <c r="E1" s="17"/>
      <c r="F1" s="17"/>
      <c r="G1" s="17"/>
      <c r="H1" s="11"/>
    </row>
    <row r="2" spans="1:8" ht="48" customHeight="1" x14ac:dyDescent="0.25">
      <c r="A2" s="12"/>
      <c r="B2" s="13"/>
      <c r="C2" s="18" t="s">
        <v>4</v>
      </c>
      <c r="D2" s="19"/>
      <c r="E2" s="19"/>
      <c r="F2" s="19"/>
      <c r="G2" s="19"/>
      <c r="H2" s="13"/>
    </row>
    <row r="3" spans="1:8" ht="75" customHeight="1" x14ac:dyDescent="0.25">
      <c r="A3" s="12"/>
      <c r="B3" s="13"/>
      <c r="C3" s="18" t="s">
        <v>5</v>
      </c>
      <c r="D3" s="19"/>
      <c r="E3" s="19"/>
      <c r="F3" s="19"/>
      <c r="G3" s="19"/>
      <c r="H3" s="13"/>
    </row>
    <row r="4" spans="1:8" ht="45" customHeight="1" x14ac:dyDescent="0.25">
      <c r="A4" s="12"/>
      <c r="B4" s="13"/>
      <c r="C4" s="18" t="s">
        <v>6</v>
      </c>
      <c r="D4" s="19"/>
      <c r="E4" s="19"/>
      <c r="F4" s="19"/>
      <c r="G4" s="19"/>
      <c r="H4" s="13"/>
    </row>
    <row r="5" spans="1:8" ht="34.799999999999997" customHeight="1" x14ac:dyDescent="0.25">
      <c r="A5" s="12"/>
      <c r="B5" s="13"/>
      <c r="C5" s="18" t="s">
        <v>7</v>
      </c>
      <c r="D5" s="19"/>
      <c r="E5" s="19"/>
      <c r="F5" s="19"/>
      <c r="G5" s="19"/>
      <c r="H5" s="13"/>
    </row>
    <row r="6" spans="1:8" ht="51" customHeight="1" x14ac:dyDescent="0.25">
      <c r="A6" s="14"/>
      <c r="B6" s="15"/>
      <c r="C6" s="20" t="s">
        <v>8</v>
      </c>
      <c r="D6" s="21"/>
      <c r="E6" s="21"/>
      <c r="F6" s="21"/>
      <c r="G6" s="21"/>
      <c r="H6" s="15"/>
    </row>
  </sheetData>
  <mergeCells count="7">
    <mergeCell ref="A1:B6"/>
    <mergeCell ref="C1:H1"/>
    <mergeCell ref="C2:H2"/>
    <mergeCell ref="C3:H3"/>
    <mergeCell ref="C4:H4"/>
    <mergeCell ref="C5:H5"/>
    <mergeCell ref="C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Cohort_tables</vt:lpstr>
      <vt:lpstr>Conclusions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cp:lastModifiedBy>
  <dcterms:modified xsi:type="dcterms:W3CDTF">2026-10-08T12:20:48Z</dcterms:modified>
</cp:coreProperties>
</file>